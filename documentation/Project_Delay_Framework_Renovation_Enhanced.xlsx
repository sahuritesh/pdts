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ishwanath Galipally\Downloads\"/>
    </mc:Choice>
  </mc:AlternateContent>
  <bookViews>
    <workbookView xWindow="0" yWindow="0" windowWidth="19200" windowHeight="6930" activeTab="1"/>
  </bookViews>
  <sheets>
    <sheet name="Sheet1" sheetId="2" r:id="rId1"/>
    <sheet name="Construction" sheetId="4" r:id="rId2"/>
    <sheet name="Renovation Projects" sheetId="3" r:id="rId3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4" i="4" l="1"/>
  <c r="W2" i="3" l="1"/>
  <c r="N2" i="3"/>
  <c r="O4" i="2"/>
</calcChain>
</file>

<file path=xl/sharedStrings.xml><?xml version="1.0" encoding="utf-8"?>
<sst xmlns="http://schemas.openxmlformats.org/spreadsheetml/2006/main" count="241" uniqueCount="153">
  <si>
    <t>Hospital Name</t>
  </si>
  <si>
    <t>Project ID</t>
  </si>
  <si>
    <t>Project Type</t>
  </si>
  <si>
    <t>Project SPOC</t>
  </si>
  <si>
    <t>Project Start Date</t>
  </si>
  <si>
    <t>Project Completion Date</t>
  </si>
  <si>
    <t>Delay Category</t>
  </si>
  <si>
    <t>Primary Delay Drivers</t>
  </si>
  <si>
    <t>Specific Event / Description</t>
  </si>
  <si>
    <t>Impacted Task</t>
  </si>
  <si>
    <t>Root Cause</t>
  </si>
  <si>
    <t>Responsibility</t>
  </si>
  <si>
    <t>Delay_Start Date</t>
  </si>
  <si>
    <t>End Date</t>
  </si>
  <si>
    <t>Total Days Delayed</t>
  </si>
  <si>
    <t>Mitigation Action Taken</t>
  </si>
  <si>
    <t>Status</t>
  </si>
  <si>
    <t xml:space="preserve">"Early Warning System" (EWS) </t>
  </si>
  <si>
    <t>Direct Cost</t>
  </si>
  <si>
    <t>Opportunity Cost</t>
  </si>
  <si>
    <t>Before &amp; after pic</t>
  </si>
  <si>
    <t>Project document _Attachment</t>
  </si>
  <si>
    <t xml:space="preserve">New projects (Green field / Brown Field), Renovation </t>
  </si>
  <si>
    <t>DD/MM/YY</t>
  </si>
  <si>
    <t>(Explanation of 'Category' buckets</t>
  </si>
  <si>
    <t>Describe specific task delayed 
(e.g., "Installation of MRI Shielding")</t>
  </si>
  <si>
    <t xml:space="preserve">Impact on the Critical Path </t>
  </si>
  <si>
    <t>Planning gap, Coordination failure, Vendor underperformance, Design change, Approval bottleneck, 
Resource constraint</t>
  </si>
  <si>
    <t>Who is responsible (Contractor, Architect, Hospital Admin or External Vendor)</t>
  </si>
  <si>
    <t>The start date of the delay 
DD/MM/YY</t>
  </si>
  <si>
    <t>the date it will be resolved
DD/MM/YY</t>
  </si>
  <si>
    <t>in Days</t>
  </si>
  <si>
    <t xml:space="preserve">If a sub-task (like medical gas piping) hits 80% of its allotted time but is only 50% complete, the framework should auto-flag it as a "Potential Delay" </t>
  </si>
  <si>
    <t>Overruns in labor and materials</t>
  </si>
  <si>
    <t>Lost revenue from delayed surgeries, patient admissions</t>
  </si>
  <si>
    <t>Hosp name_Renovation / Construction_001</t>
  </si>
  <si>
    <t>Regulatory &amp; Permitting</t>
  </si>
  <si>
    <t>Long wait times for environmental, fire safety, PCPNDT, AERB approvals</t>
  </si>
  <si>
    <t>Pending Fire inspection for Annex building</t>
  </si>
  <si>
    <t>Final NOC</t>
  </si>
  <si>
    <t>Planning Gap</t>
  </si>
  <si>
    <t>Hosp name_Renovation / Construction_002</t>
  </si>
  <si>
    <t xml:space="preserve">Design &amp; Scope </t>
  </si>
  <si>
    <t>Mid-construction changes.  Late-stage requests from clinicians to change room layouts or equipment</t>
  </si>
  <si>
    <t xml:space="preserve">CSSD Uni-directional flow </t>
  </si>
  <si>
    <t>ICU Headwall Installation</t>
  </si>
  <si>
    <t>Design Change</t>
  </si>
  <si>
    <t>Dr X</t>
  </si>
  <si>
    <t>Change Order 
#42 outlets issued</t>
  </si>
  <si>
    <t>Hosp name_Renovation / Construction_003</t>
  </si>
  <si>
    <t>Supply Chain</t>
  </si>
  <si>
    <t>Long-lead items (MRI machines, custom AHUs etc), delayed by the vendor, halting the final inspection</t>
  </si>
  <si>
    <t>MRI Shielding materials stuck in transit</t>
  </si>
  <si>
    <t>Imaging Suite Completion</t>
  </si>
  <si>
    <t>Approval Bottleneck</t>
  </si>
  <si>
    <t>Procurement Head</t>
  </si>
  <si>
    <t>Hosp name_Renovation / Construction_004</t>
  </si>
  <si>
    <t>Specialized Labor</t>
  </si>
  <si>
    <t>Shortage of certified / specific manpower lead-shielding installers</t>
  </si>
  <si>
    <t>Project In-charge</t>
  </si>
  <si>
    <t>Hosp name_Renovation / Construction_005</t>
  </si>
  <si>
    <t>Operational Readiness</t>
  </si>
  <si>
    <t xml:space="preserve">Delays in hiring/training staff,  IT systems not being ready </t>
  </si>
  <si>
    <t>IT hardware delay</t>
  </si>
  <si>
    <t>EMR go-live</t>
  </si>
  <si>
    <t>IT Head</t>
  </si>
  <si>
    <t>Hosp name_Renovation / Construction_007</t>
  </si>
  <si>
    <t>Infection Control Compliance</t>
  </si>
  <si>
    <t>Dust barriers or air pressure</t>
  </si>
  <si>
    <t>Site Condition Surprises</t>
  </si>
  <si>
    <t>Discovery of existing structural or any plumbing issues that were not in the original plan</t>
  </si>
  <si>
    <t>Logistical Challenges</t>
  </si>
  <si>
    <t>Inability of contractors to move materials due to active patient traffic, leading to night-work delays</t>
  </si>
  <si>
    <t>Delay Severity</t>
  </si>
  <si>
    <t>Target Revised Completion Date</t>
  </si>
  <si>
    <t>Minor (1-7 days)
Moderate (8-30 days)
Critical (&gt;30 days)
Showstopper (impacts licensing/ opening)</t>
  </si>
  <si>
    <t>Project Name</t>
  </si>
  <si>
    <t>Zone/Department Impacted</t>
  </si>
  <si>
    <t>Renovation Type</t>
  </si>
  <si>
    <t>Task Category</t>
  </si>
  <si>
    <t>Task Description</t>
  </si>
  <si>
    <t>Priority</t>
  </si>
  <si>
    <t>Planned Start Date</t>
  </si>
  <si>
    <t>Planned End Date</t>
  </si>
  <si>
    <t>Actual Start Date</t>
  </si>
  <si>
    <t>Actual End Date</t>
  </si>
  <si>
    <t>Delay Days</t>
  </si>
  <si>
    <t>Shutdown Required</t>
  </si>
  <si>
    <t>Patient/Service Disruption Score</t>
  </si>
  <si>
    <t>Temporary Relocation Needed</t>
  </si>
  <si>
    <t>Infection Control Clearance</t>
  </si>
  <si>
    <t>Dependency Task</t>
  </si>
  <si>
    <t>Risk Score</t>
  </si>
  <si>
    <t>Budgeted Cost</t>
  </si>
  <si>
    <t>Actual Cost</t>
  </si>
  <si>
    <t>Cost Overrun %</t>
  </si>
  <si>
    <t>Vendor/Contractor</t>
  </si>
  <si>
    <t>Procurement Status</t>
  </si>
  <si>
    <t>Material Delay Days</t>
  </si>
  <si>
    <t>Approval Status</t>
  </si>
  <si>
    <t>Approval Pending Days</t>
  </si>
  <si>
    <t>Change Orders</t>
  </si>
  <si>
    <t>Escalation Status</t>
  </si>
  <si>
    <t>Daily Delay Reason</t>
  </si>
  <si>
    <t>Final Handover Date</t>
  </si>
  <si>
    <t>Project Status</t>
  </si>
  <si>
    <t>Remarks</t>
  </si>
  <si>
    <t>REN-001</t>
  </si>
  <si>
    <t>ICU Renovation</t>
  </si>
  <si>
    <t>High</t>
  </si>
  <si>
    <t>2026-06-01</t>
  </si>
  <si>
    <t>2026-06-15</t>
  </si>
  <si>
    <t>2026-06-02</t>
  </si>
  <si>
    <t>2026-06-18</t>
  </si>
  <si>
    <t>Yes</t>
  </si>
  <si>
    <t>Approved</t>
  </si>
  <si>
    <t>Design Approval</t>
  </si>
  <si>
    <t>ABC Infra</t>
  </si>
  <si>
    <t>Ordered</t>
  </si>
  <si>
    <t>Pending</t>
  </si>
  <si>
    <t>Escalated</t>
  </si>
  <si>
    <t>Material shortage</t>
  </si>
  <si>
    <t>2026-06-20</t>
  </si>
  <si>
    <t>In Progress</t>
  </si>
  <si>
    <t>Critical care area</t>
  </si>
  <si>
    <t>REN-002</t>
  </si>
  <si>
    <t>OPD Upgrade</t>
  </si>
  <si>
    <t>Medium</t>
  </si>
  <si>
    <t>2026-07-01</t>
  </si>
  <si>
    <t>2026-07-10</t>
  </si>
  <si>
    <t>No</t>
  </si>
  <si>
    <t>Vendor Finalization</t>
  </si>
  <si>
    <t>XYZ Electrical</t>
  </si>
  <si>
    <t>None</t>
  </si>
  <si>
    <t>Planned</t>
  </si>
  <si>
    <t>Minimal disruption</t>
  </si>
  <si>
    <t>Location</t>
  </si>
  <si>
    <t>Project Scope</t>
  </si>
  <si>
    <t>Apollo Hospitals, Gurugram</t>
  </si>
  <si>
    <t>AH-Gurugram - CONST-01</t>
  </si>
  <si>
    <t>AH-Gurugram - CONST-02</t>
  </si>
  <si>
    <t>Green Field</t>
  </si>
  <si>
    <t>Area / Facility</t>
  </si>
  <si>
    <t>Individual Depts or Facility</t>
  </si>
  <si>
    <t>Emergency</t>
  </si>
  <si>
    <t>MRI Room</t>
  </si>
  <si>
    <t>Mr.Biomedical</t>
  </si>
  <si>
    <t>Mr.Operations</t>
  </si>
  <si>
    <t>Regulatory Approvals</t>
  </si>
  <si>
    <t>Design &amp; Scope</t>
  </si>
  <si>
    <t>MEP / Procurement &amp; Supply Chain / Design &amp; Scope / Medical Equipment Installations / Regulatory Approvals / Specialized Labor / Logistical Challenges /  Site Condition Surprises / Operational Readiness / Infection Control Compliance</t>
  </si>
  <si>
    <t>Showstopper (Impacts licensing/opening)</t>
  </si>
  <si>
    <t>Moderate (8-30 days)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</si>
</sst>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/mmm/yy;@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rgb="FFFFFFFF"/>
      <name val="Calibri"/>
    </font>
    <font>
      <b/>
      <sz val="14"/>
      <name val="Calibri"/>
    </font>
    <font>
      <b/>
      <sz val="11"/>
      <name val="Calibri"/>
    </font>
    <font>
      <b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1F4E78"/>
      </patternFill>
    </fill>
    <fill>
      <patternFill patternType="solid">
        <fgColor theme="4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2" fillId="8" borderId="12" xfId="0" applyFont="1" applyFill="1" applyBorder="1" applyAlignment="1">
      <alignment horizontal="center" vertical="center" wrapText="1"/>
    </xf>
    <xf numFmtId="0" fontId="0" fillId="0" borderId="12" xfId="0" applyBorder="1" applyAlignment="1">
      <alignment vertical="top" wrapText="1"/>
    </xf>
    <xf numFmtId="0" fontId="3" fillId="0" borderId="0" xfId="0" applyFont="1"/>
    <xf numFmtId="0" fontId="4" fillId="0" borderId="0" xfId="0" applyFont="1"/>
    <xf numFmtId="0" fontId="5" fillId="2" borderId="3" xfId="0" applyFont="1" applyFill="1" applyBorder="1" applyAlignment="1">
      <alignment horizontal="left" vertical="top" wrapText="1"/>
    </xf>
    <xf numFmtId="0" fontId="6" fillId="2" borderId="3" xfId="0" applyFont="1" applyFill="1" applyBorder="1" applyAlignment="1">
      <alignment horizontal="left" vertical="top" wrapText="1"/>
    </xf>
    <xf numFmtId="0" fontId="5" fillId="7" borderId="3" xfId="0" applyFont="1" applyFill="1" applyBorder="1" applyAlignment="1">
      <alignment horizontal="left" vertical="top" wrapText="1"/>
    </xf>
    <xf numFmtId="0" fontId="5" fillId="2" borderId="4" xfId="0" applyFont="1" applyFill="1" applyBorder="1" applyAlignment="1">
      <alignment horizontal="left" vertical="top" wrapText="1"/>
    </xf>
    <xf numFmtId="0" fontId="7" fillId="6" borderId="10" xfId="0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horizontal="left" vertical="top" wrapText="1"/>
    </xf>
    <xf numFmtId="0" fontId="5" fillId="7" borderId="11" xfId="0" applyFont="1" applyFill="1" applyBorder="1" applyAlignment="1">
      <alignment horizontal="left" vertical="top" wrapText="1"/>
    </xf>
    <xf numFmtId="0" fontId="8" fillId="3" borderId="5" xfId="0" applyFont="1" applyFill="1" applyBorder="1" applyAlignment="1">
      <alignment horizontal="left" vertical="top"/>
    </xf>
    <xf numFmtId="0" fontId="7" fillId="3" borderId="1" xfId="0" applyFont="1" applyFill="1" applyBorder="1" applyAlignment="1">
      <alignment horizontal="left" vertical="top"/>
    </xf>
    <xf numFmtId="0" fontId="7" fillId="3" borderId="1" xfId="0" applyFont="1" applyFill="1" applyBorder="1" applyAlignment="1">
      <alignment horizontal="left" vertical="top" wrapText="1"/>
    </xf>
    <xf numFmtId="0" fontId="7" fillId="7" borderId="1" xfId="0" applyFont="1" applyFill="1" applyBorder="1" applyAlignment="1">
      <alignment horizontal="center" vertical="top" wrapText="1"/>
    </xf>
    <xf numFmtId="0" fontId="6" fillId="3" borderId="1" xfId="0" applyFont="1" applyFill="1" applyBorder="1" applyAlignment="1">
      <alignment horizontal="left" vertical="top"/>
    </xf>
    <xf numFmtId="0" fontId="8" fillId="3" borderId="1" xfId="0" applyFont="1" applyFill="1" applyBorder="1" applyAlignment="1">
      <alignment horizontal="left" vertical="top" wrapText="1"/>
    </xf>
    <xf numFmtId="0" fontId="8" fillId="3" borderId="1" xfId="0" applyFont="1" applyFill="1" applyBorder="1" applyAlignment="1">
      <alignment horizontal="left" vertical="top"/>
    </xf>
    <xf numFmtId="0" fontId="8" fillId="7" borderId="1" xfId="0" applyFont="1" applyFill="1" applyBorder="1" applyAlignment="1">
      <alignment horizontal="left" vertical="top" wrapText="1"/>
    </xf>
    <xf numFmtId="0" fontId="8" fillId="3" borderId="6" xfId="0" applyFont="1" applyFill="1" applyBorder="1" applyAlignment="1">
      <alignment horizontal="left" vertical="top" wrapText="1"/>
    </xf>
    <xf numFmtId="0" fontId="8" fillId="3" borderId="10" xfId="0" applyFont="1" applyFill="1" applyBorder="1" applyAlignment="1">
      <alignment horizontal="left" vertical="top" wrapText="1"/>
    </xf>
    <xf numFmtId="0" fontId="8" fillId="5" borderId="1" xfId="0" applyFont="1" applyFill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/>
    </xf>
    <xf numFmtId="0" fontId="7" fillId="0" borderId="5" xfId="0" applyFont="1" applyBorder="1" applyAlignment="1">
      <alignment horizontal="left" vertical="top"/>
    </xf>
    <xf numFmtId="0" fontId="7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/>
    </xf>
    <xf numFmtId="0" fontId="8" fillId="0" borderId="1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left" vertical="top"/>
    </xf>
    <xf numFmtId="0" fontId="7" fillId="0" borderId="10" xfId="0" applyFont="1" applyBorder="1" applyAlignment="1">
      <alignment horizontal="left" vertical="top"/>
    </xf>
    <xf numFmtId="14" fontId="7" fillId="0" borderId="1" xfId="0" applyNumberFormat="1" applyFont="1" applyBorder="1" applyAlignment="1">
      <alignment horizontal="left" vertical="top"/>
    </xf>
    <xf numFmtId="0" fontId="7" fillId="0" borderId="6" xfId="0" applyFont="1" applyBorder="1" applyAlignment="1">
      <alignment horizontal="left" vertical="top" wrapText="1"/>
    </xf>
    <xf numFmtId="0" fontId="7" fillId="0" borderId="7" xfId="0" applyFont="1" applyBorder="1" applyAlignment="1">
      <alignment horizontal="left" vertical="top"/>
    </xf>
    <xf numFmtId="0" fontId="7" fillId="0" borderId="8" xfId="0" applyFont="1" applyBorder="1" applyAlignment="1">
      <alignment horizontal="left" vertical="top"/>
    </xf>
    <xf numFmtId="0" fontId="8" fillId="0" borderId="8" xfId="0" applyFont="1" applyBorder="1" applyAlignment="1">
      <alignment horizontal="left" vertical="top" wrapText="1"/>
    </xf>
    <xf numFmtId="0" fontId="7" fillId="0" borderId="8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/>
    </xf>
    <xf numFmtId="0" fontId="5" fillId="2" borderId="2" xfId="0" applyFont="1" applyFill="1" applyBorder="1" applyAlignment="1">
      <alignment horizontal="left" vertical="top" wrapText="1"/>
    </xf>
    <xf numFmtId="0" fontId="5" fillId="7" borderId="3" xfId="0" applyFont="1" applyFill="1" applyBorder="1" applyAlignment="1">
      <alignment horizontal="center" vertical="top" wrapText="1"/>
    </xf>
    <xf numFmtId="0" fontId="0" fillId="0" borderId="0" xfId="0" applyAlignment="1">
      <alignment wrapText="1"/>
    </xf>
    <xf numFmtId="0" fontId="7" fillId="9" borderId="5" xfId="0" applyFont="1" applyFill="1" applyBorder="1" applyAlignment="1">
      <alignment horizontal="left" vertical="top"/>
    </xf>
    <xf numFmtId="0" fontId="7" fillId="9" borderId="1" xfId="0" applyFont="1" applyFill="1" applyBorder="1" applyAlignment="1">
      <alignment horizontal="left" vertical="top" wrapText="1"/>
    </xf>
    <xf numFmtId="0" fontId="7" fillId="9" borderId="1" xfId="0" applyFont="1" applyFill="1" applyBorder="1" applyAlignment="1">
      <alignment horizontal="left" vertical="top"/>
    </xf>
    <xf numFmtId="0" fontId="8" fillId="9" borderId="1" xfId="0" applyFont="1" applyFill="1" applyBorder="1" applyAlignment="1">
      <alignment horizontal="left" vertical="top" wrapText="1"/>
    </xf>
    <xf numFmtId="0" fontId="7" fillId="9" borderId="6" xfId="0" applyFont="1" applyFill="1" applyBorder="1" applyAlignment="1">
      <alignment horizontal="left" vertical="top"/>
    </xf>
    <xf numFmtId="0" fontId="7" fillId="9" borderId="10" xfId="0" applyFont="1" applyFill="1" applyBorder="1" applyAlignment="1">
      <alignment horizontal="left" vertical="top"/>
    </xf>
    <xf numFmtId="14" fontId="7" fillId="9" borderId="1" xfId="0" applyNumberFormat="1" applyFont="1" applyFill="1" applyBorder="1" applyAlignment="1">
      <alignment horizontal="left" vertical="top"/>
    </xf>
    <xf numFmtId="0" fontId="7" fillId="9" borderId="6" xfId="0" applyFont="1" applyFill="1" applyBorder="1" applyAlignment="1">
      <alignment horizontal="left" vertical="top" wrapText="1"/>
    </xf>
    <xf numFmtId="0" fontId="5" fillId="2" borderId="2" xfId="0" applyFont="1" applyFill="1" applyBorder="1" applyAlignment="1">
      <alignment horizontal="center" vertical="top" wrapText="1"/>
    </xf>
    <xf numFmtId="0" fontId="5" fillId="2" borderId="3" xfId="0" applyFont="1" applyFill="1" applyBorder="1" applyAlignment="1">
      <alignment horizontal="center" vertical="top" wrapText="1"/>
    </xf>
    <xf numFmtId="164" fontId="5" fillId="2" borderId="3" xfId="0" applyNumberFormat="1" applyFont="1" applyFill="1" applyBorder="1" applyAlignment="1">
      <alignment horizontal="center" vertical="top" wrapText="1"/>
    </xf>
    <xf numFmtId="0" fontId="6" fillId="2" borderId="3" xfId="0" applyFont="1" applyFill="1" applyBorder="1" applyAlignment="1">
      <alignment horizontal="center" vertical="top" wrapText="1"/>
    </xf>
    <xf numFmtId="0" fontId="5" fillId="2" borderId="4" xfId="0" applyFont="1" applyFill="1" applyBorder="1" applyAlignment="1">
      <alignment horizontal="center" vertical="top" wrapText="1"/>
    </xf>
    <xf numFmtId="0" fontId="7" fillId="6" borderId="10" xfId="0" applyFont="1" applyFill="1" applyBorder="1" applyAlignment="1">
      <alignment horizontal="center" vertical="top" wrapText="1"/>
    </xf>
    <xf numFmtId="0" fontId="5" fillId="4" borderId="1" xfId="0" applyFont="1" applyFill="1" applyBorder="1" applyAlignment="1">
      <alignment horizontal="center" vertical="top" wrapText="1"/>
    </xf>
    <xf numFmtId="0" fontId="5" fillId="7" borderId="11" xfId="0" applyFont="1" applyFill="1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164" fontId="7" fillId="3" borderId="1" xfId="0" applyNumberFormat="1" applyFont="1" applyFill="1" applyBorder="1" applyAlignment="1">
      <alignment horizontal="center" vertical="top" wrapText="1"/>
    </xf>
    <xf numFmtId="164" fontId="7" fillId="9" borderId="1" xfId="0" applyNumberFormat="1" applyFont="1" applyFill="1" applyBorder="1" applyAlignment="1">
      <alignment horizontal="center" vertical="top" wrapText="1"/>
    </xf>
    <xf numFmtId="164" fontId="7" fillId="0" borderId="1" xfId="0" applyNumberFormat="1" applyFont="1" applyBorder="1" applyAlignment="1">
      <alignment horizontal="center" vertical="top" wrapText="1"/>
    </xf>
    <xf numFmtId="164" fontId="7" fillId="0" borderId="1" xfId="0" applyNumberFormat="1" applyFont="1" applyBorder="1" applyAlignment="1">
      <alignment horizontal="center" vertical="top"/>
    </xf>
    <xf numFmtId="164" fontId="7" fillId="0" borderId="8" xfId="0" applyNumberFormat="1" applyFont="1" applyBorder="1" applyAlignment="1">
      <alignment horizontal="center" vertical="top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7"/>
  <sheetViews>
    <sheetView zoomScale="70" zoomScaleNormal="70" workbookViewId="0">
      <selection activeCell="D1" sqref="D1:D1048576"/>
    </sheetView>
  </sheetViews>
  <sheetFormatPr defaultRowHeight="14.5" x14ac:dyDescent="0.35"/>
  <cols>
    <col min="1" max="1" width="44.1796875" customWidth="1"/>
    <col min="2" max="2" width="27" customWidth="1"/>
    <col min="3" max="3" width="20.54296875" customWidth="1"/>
    <col min="4" max="4" width="21.453125" customWidth="1"/>
    <col min="5" max="5" width="50.54296875" customWidth="1"/>
    <col min="6" max="6" width="22.54296875" customWidth="1"/>
    <col min="7" max="7" width="19.26953125" customWidth="1"/>
    <col min="8" max="8" width="20.453125" customWidth="1"/>
    <col min="9" max="9" width="25.81640625" customWidth="1"/>
    <col min="10" max="10" width="26.7265625" customWidth="1"/>
    <col min="11" max="11" width="33.26953125" customWidth="1"/>
    <col min="12" max="12" width="37.7265625" customWidth="1"/>
    <col min="13" max="14" width="14.54296875" bestFit="1" customWidth="1"/>
    <col min="15" max="15" width="9.453125" bestFit="1" customWidth="1"/>
    <col min="16" max="16" width="20.453125" customWidth="1"/>
    <col min="19" max="19" width="25.54296875" customWidth="1"/>
  </cols>
  <sheetData>
    <row r="1" spans="1:24" s="43" customFormat="1" ht="77.5" customHeight="1" x14ac:dyDescent="0.35">
      <c r="A1" s="41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11" t="s">
        <v>73</v>
      </c>
      <c r="Q1" s="9" t="s">
        <v>15</v>
      </c>
      <c r="R1" s="12" t="s">
        <v>16</v>
      </c>
      <c r="S1" s="13" t="s">
        <v>17</v>
      </c>
      <c r="T1" s="14" t="s">
        <v>18</v>
      </c>
      <c r="U1" s="14" t="s">
        <v>19</v>
      </c>
      <c r="V1" s="15" t="s">
        <v>74</v>
      </c>
      <c r="W1" s="12" t="s">
        <v>20</v>
      </c>
      <c r="X1" s="12" t="s">
        <v>21</v>
      </c>
    </row>
    <row r="2" spans="1:24" s="4" customFormat="1" ht="247" customHeight="1" x14ac:dyDescent="0.35">
      <c r="A2" s="16"/>
      <c r="B2" s="17"/>
      <c r="C2" s="18" t="s">
        <v>22</v>
      </c>
      <c r="D2" s="18"/>
      <c r="E2" s="18" t="s">
        <v>23</v>
      </c>
      <c r="F2" s="18" t="s">
        <v>23</v>
      </c>
      <c r="G2" s="20"/>
      <c r="H2" s="21" t="s">
        <v>24</v>
      </c>
      <c r="I2" s="21" t="s">
        <v>25</v>
      </c>
      <c r="J2" s="21" t="s">
        <v>26</v>
      </c>
      <c r="K2" s="21" t="s">
        <v>27</v>
      </c>
      <c r="L2" s="21" t="s">
        <v>28</v>
      </c>
      <c r="M2" s="21" t="s">
        <v>29</v>
      </c>
      <c r="N2" s="21" t="s">
        <v>30</v>
      </c>
      <c r="O2" s="22" t="s">
        <v>31</v>
      </c>
      <c r="P2" s="23" t="s">
        <v>75</v>
      </c>
      <c r="Q2" s="21"/>
      <c r="R2" s="24"/>
      <c r="S2" s="25" t="s">
        <v>32</v>
      </c>
      <c r="T2" s="26" t="s">
        <v>33</v>
      </c>
      <c r="U2" s="26" t="s">
        <v>34</v>
      </c>
      <c r="V2" s="23"/>
      <c r="W2" s="27"/>
      <c r="X2" s="27"/>
    </row>
    <row r="3" spans="1:24" s="3" customFormat="1" ht="104.15" customHeight="1" x14ac:dyDescent="0.35">
      <c r="A3" s="28"/>
      <c r="B3" s="29" t="s">
        <v>35</v>
      </c>
      <c r="C3" s="29"/>
      <c r="D3" s="29"/>
      <c r="E3" s="29"/>
      <c r="F3" s="29"/>
      <c r="G3" s="30" t="s">
        <v>36</v>
      </c>
      <c r="H3" s="31" t="s">
        <v>37</v>
      </c>
      <c r="I3" s="29" t="s">
        <v>38</v>
      </c>
      <c r="J3" s="29" t="s">
        <v>39</v>
      </c>
      <c r="K3" s="29" t="s">
        <v>40</v>
      </c>
      <c r="L3" s="30"/>
      <c r="M3" s="30"/>
      <c r="N3" s="30"/>
      <c r="O3" s="30"/>
      <c r="P3" s="30"/>
      <c r="Q3" s="30"/>
      <c r="R3" s="32"/>
      <c r="S3" s="33"/>
      <c r="T3" s="30"/>
      <c r="U3" s="30"/>
      <c r="V3" s="30"/>
      <c r="W3" s="30"/>
      <c r="X3" s="30"/>
    </row>
    <row r="4" spans="1:24" ht="182.15" customHeight="1" x14ac:dyDescent="0.35">
      <c r="A4" s="28"/>
      <c r="B4" s="29" t="s">
        <v>41</v>
      </c>
      <c r="C4" s="29"/>
      <c r="D4" s="29"/>
      <c r="E4" s="29"/>
      <c r="F4" s="29"/>
      <c r="G4" s="30" t="s">
        <v>42</v>
      </c>
      <c r="H4" s="31" t="s">
        <v>43</v>
      </c>
      <c r="I4" s="29" t="s">
        <v>44</v>
      </c>
      <c r="J4" s="29" t="s">
        <v>45</v>
      </c>
      <c r="K4" s="29" t="s">
        <v>46</v>
      </c>
      <c r="L4" s="30" t="s">
        <v>47</v>
      </c>
      <c r="M4" s="34">
        <v>46056</v>
      </c>
      <c r="N4" s="34">
        <v>46073</v>
      </c>
      <c r="O4" s="30">
        <f>N4-M4</f>
        <v>17</v>
      </c>
      <c r="P4" s="30"/>
      <c r="Q4" s="29" t="s">
        <v>48</v>
      </c>
      <c r="R4" s="35"/>
      <c r="S4" s="33"/>
      <c r="T4" s="30"/>
      <c r="U4" s="30"/>
      <c r="V4" s="30"/>
      <c r="W4" s="30"/>
      <c r="X4" s="30"/>
    </row>
    <row r="5" spans="1:24" ht="169" customHeight="1" x14ac:dyDescent="0.35">
      <c r="A5" s="28"/>
      <c r="B5" s="29" t="s">
        <v>49</v>
      </c>
      <c r="C5" s="29"/>
      <c r="D5" s="29"/>
      <c r="E5" s="29"/>
      <c r="F5" s="29"/>
      <c r="G5" s="30" t="s">
        <v>50</v>
      </c>
      <c r="H5" s="31" t="s">
        <v>51</v>
      </c>
      <c r="I5" s="29" t="s">
        <v>52</v>
      </c>
      <c r="J5" s="29" t="s">
        <v>53</v>
      </c>
      <c r="K5" s="29" t="s">
        <v>54</v>
      </c>
      <c r="L5" s="30" t="s">
        <v>55</v>
      </c>
      <c r="M5" s="30"/>
      <c r="N5" s="30"/>
      <c r="O5" s="30"/>
      <c r="P5" s="30"/>
      <c r="Q5" s="30"/>
      <c r="R5" s="32"/>
      <c r="S5" s="33"/>
      <c r="T5" s="30"/>
      <c r="U5" s="30"/>
      <c r="V5" s="30"/>
      <c r="W5" s="30"/>
      <c r="X5" s="30"/>
    </row>
    <row r="6" spans="1:24" ht="104.15" customHeight="1" x14ac:dyDescent="0.35">
      <c r="A6" s="28"/>
      <c r="B6" s="29" t="s">
        <v>56</v>
      </c>
      <c r="C6" s="29"/>
      <c r="D6" s="29"/>
      <c r="E6" s="29"/>
      <c r="F6" s="29"/>
      <c r="G6" s="30" t="s">
        <v>57</v>
      </c>
      <c r="H6" s="31" t="s">
        <v>58</v>
      </c>
      <c r="I6" s="29"/>
      <c r="J6" s="29"/>
      <c r="K6" s="29"/>
      <c r="L6" s="30" t="s">
        <v>59</v>
      </c>
      <c r="M6" s="30"/>
      <c r="N6" s="30"/>
      <c r="O6" s="30"/>
      <c r="P6" s="30"/>
      <c r="Q6" s="30"/>
      <c r="R6" s="32"/>
      <c r="S6" s="33"/>
      <c r="T6" s="30"/>
      <c r="U6" s="30"/>
      <c r="V6" s="30"/>
      <c r="W6" s="30"/>
      <c r="X6" s="30"/>
    </row>
    <row r="7" spans="1:24" ht="91" customHeight="1" x14ac:dyDescent="0.35">
      <c r="A7" s="28"/>
      <c r="B7" s="29" t="s">
        <v>60</v>
      </c>
      <c r="C7" s="29"/>
      <c r="D7" s="29"/>
      <c r="E7" s="29"/>
      <c r="F7" s="29"/>
      <c r="G7" s="30" t="s">
        <v>61</v>
      </c>
      <c r="H7" s="31" t="s">
        <v>62</v>
      </c>
      <c r="I7" s="29" t="s">
        <v>63</v>
      </c>
      <c r="J7" s="29" t="s">
        <v>64</v>
      </c>
      <c r="K7" s="29"/>
      <c r="L7" s="30" t="s">
        <v>65</v>
      </c>
      <c r="M7" s="30"/>
      <c r="N7" s="30"/>
      <c r="O7" s="30"/>
      <c r="P7" s="30"/>
      <c r="Q7" s="30"/>
      <c r="R7" s="32"/>
      <c r="S7" s="33"/>
      <c r="T7" s="30"/>
      <c r="U7" s="30"/>
      <c r="V7" s="30"/>
      <c r="W7" s="30"/>
      <c r="X7" s="30"/>
    </row>
    <row r="8" spans="1:24" ht="52" customHeight="1" x14ac:dyDescent="0.35">
      <c r="A8" s="28"/>
      <c r="B8" s="29" t="s">
        <v>66</v>
      </c>
      <c r="C8" s="29"/>
      <c r="D8" s="29"/>
      <c r="E8" s="29"/>
      <c r="F8" s="29"/>
      <c r="G8" s="30" t="s">
        <v>67</v>
      </c>
      <c r="H8" s="31" t="s">
        <v>68</v>
      </c>
      <c r="I8" s="29"/>
      <c r="J8" s="29"/>
      <c r="K8" s="29"/>
      <c r="L8" s="30" t="s">
        <v>59</v>
      </c>
      <c r="M8" s="30"/>
      <c r="N8" s="30"/>
      <c r="O8" s="30"/>
      <c r="P8" s="30"/>
      <c r="Q8" s="30"/>
      <c r="R8" s="32"/>
      <c r="S8" s="33"/>
      <c r="T8" s="30"/>
      <c r="U8" s="30"/>
      <c r="V8" s="30"/>
      <c r="W8" s="30"/>
      <c r="X8" s="30"/>
    </row>
    <row r="9" spans="1:24" ht="143.15" customHeight="1" x14ac:dyDescent="0.35">
      <c r="A9" s="28"/>
      <c r="B9" s="30"/>
      <c r="C9" s="30"/>
      <c r="D9" s="30"/>
      <c r="E9" s="30"/>
      <c r="F9" s="30"/>
      <c r="G9" s="30" t="s">
        <v>69</v>
      </c>
      <c r="H9" s="31" t="s">
        <v>70</v>
      </c>
      <c r="I9" s="29"/>
      <c r="J9" s="29"/>
      <c r="K9" s="29"/>
      <c r="L9" s="30" t="s">
        <v>59</v>
      </c>
      <c r="M9" s="30"/>
      <c r="N9" s="30"/>
      <c r="O9" s="30"/>
      <c r="P9" s="30"/>
      <c r="Q9" s="30"/>
      <c r="R9" s="32"/>
      <c r="S9" s="33"/>
      <c r="T9" s="30"/>
      <c r="U9" s="30"/>
      <c r="V9" s="30"/>
      <c r="W9" s="30"/>
      <c r="X9" s="30"/>
    </row>
    <row r="10" spans="1:24" ht="169.5" customHeight="1" thickBot="1" x14ac:dyDescent="0.4">
      <c r="A10" s="36"/>
      <c r="B10" s="37"/>
      <c r="C10" s="37"/>
      <c r="D10" s="37"/>
      <c r="E10" s="37"/>
      <c r="F10" s="37"/>
      <c r="G10" s="37" t="s">
        <v>71</v>
      </c>
      <c r="H10" s="38" t="s">
        <v>72</v>
      </c>
      <c r="I10" s="39"/>
      <c r="J10" s="39"/>
      <c r="K10" s="39"/>
      <c r="L10" s="37" t="s">
        <v>59</v>
      </c>
      <c r="M10" s="37"/>
      <c r="N10" s="37"/>
      <c r="O10" s="37"/>
      <c r="P10" s="37"/>
      <c r="Q10" s="37"/>
      <c r="R10" s="40"/>
      <c r="S10" s="33"/>
      <c r="T10" s="30"/>
      <c r="U10" s="30"/>
      <c r="V10" s="30"/>
      <c r="W10" s="30"/>
      <c r="X10" s="30"/>
    </row>
    <row r="11" spans="1:24" x14ac:dyDescent="0.35">
      <c r="A11" s="2"/>
    </row>
    <row r="12" spans="1:24" x14ac:dyDescent="0.35">
      <c r="A12" s="1"/>
    </row>
    <row r="14" spans="1:24" x14ac:dyDescent="0.35">
      <c r="A14" s="2"/>
    </row>
    <row r="15" spans="1:24" x14ac:dyDescent="0.35">
      <c r="A15" s="1"/>
    </row>
    <row r="16" spans="1:24" x14ac:dyDescent="0.35">
      <c r="A16" s="2"/>
    </row>
    <row r="17" spans="1:1" x14ac:dyDescent="0.35">
      <c r="A17" s="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7"/>
  <sheetViews>
    <sheetView tabSelected="1" zoomScale="60" zoomScaleNormal="60" workbookViewId="0">
      <pane ySplit="1" topLeftCell="A2" activePane="bottomLeft" state="frozen"/>
      <selection pane="bottomLeft" activeCell="C2" sqref="C2"/>
    </sheetView>
  </sheetViews>
  <sheetFormatPr defaultRowHeight="14.5" x14ac:dyDescent="0.35"/>
  <cols>
    <col min="1" max="1" width="44.1796875" customWidth="1"/>
    <col min="2" max="2" width="27" customWidth="1"/>
    <col min="3" max="4" width="20.54296875" customWidth="1"/>
    <col min="5" max="5" width="21.453125" customWidth="1"/>
    <col min="6" max="6" width="16.81640625" style="66" customWidth="1"/>
    <col min="7" max="7" width="22.54296875" style="66" customWidth="1"/>
    <col min="8" max="8" width="29.90625" customWidth="1"/>
    <col min="9" max="9" width="20.453125" customWidth="1"/>
    <col min="10" max="10" width="25.81640625" customWidth="1"/>
    <col min="11" max="11" width="26.7265625" customWidth="1"/>
    <col min="12" max="12" width="33.26953125" customWidth="1"/>
    <col min="13" max="13" width="37.7265625" customWidth="1"/>
    <col min="14" max="15" width="14.54296875" bestFit="1" customWidth="1"/>
    <col min="16" max="16" width="9.453125" bestFit="1" customWidth="1"/>
    <col min="17" max="17" width="20.453125" customWidth="1"/>
    <col min="18" max="18" width="12.81640625" customWidth="1"/>
    <col min="19" max="19" width="17.6328125" customWidth="1"/>
    <col min="21" max="21" width="25.54296875" customWidth="1"/>
    <col min="24" max="24" width="19.81640625" customWidth="1"/>
  </cols>
  <sheetData>
    <row r="1" spans="1:25" s="60" customFormat="1" ht="77.5" customHeight="1" x14ac:dyDescent="0.35">
      <c r="A1" s="52" t="s">
        <v>0</v>
      </c>
      <c r="B1" s="53" t="s">
        <v>1</v>
      </c>
      <c r="C1" s="53" t="s">
        <v>2</v>
      </c>
      <c r="D1" s="42" t="s">
        <v>142</v>
      </c>
      <c r="E1" s="53" t="s">
        <v>3</v>
      </c>
      <c r="F1" s="54" t="s">
        <v>4</v>
      </c>
      <c r="G1" s="54" t="s">
        <v>5</v>
      </c>
      <c r="H1" s="53" t="s">
        <v>6</v>
      </c>
      <c r="I1" s="55" t="s">
        <v>7</v>
      </c>
      <c r="J1" s="53" t="s">
        <v>8</v>
      </c>
      <c r="K1" s="53" t="s">
        <v>9</v>
      </c>
      <c r="L1" s="53" t="s">
        <v>10</v>
      </c>
      <c r="M1" s="53" t="s">
        <v>11</v>
      </c>
      <c r="N1" s="53" t="s">
        <v>12</v>
      </c>
      <c r="O1" s="53" t="s">
        <v>13</v>
      </c>
      <c r="P1" s="53" t="s">
        <v>14</v>
      </c>
      <c r="Q1" s="42" t="s">
        <v>73</v>
      </c>
      <c r="R1" s="56" t="s">
        <v>20</v>
      </c>
      <c r="S1" s="53" t="s">
        <v>15</v>
      </c>
      <c r="T1" s="56" t="s">
        <v>16</v>
      </c>
      <c r="U1" s="57" t="s">
        <v>17</v>
      </c>
      <c r="V1" s="58" t="s">
        <v>18</v>
      </c>
      <c r="W1" s="58" t="s">
        <v>19</v>
      </c>
      <c r="X1" s="59" t="s">
        <v>74</v>
      </c>
      <c r="Y1" s="56" t="s">
        <v>21</v>
      </c>
    </row>
    <row r="2" spans="1:25" s="4" customFormat="1" ht="247" customHeight="1" x14ac:dyDescent="0.35">
      <c r="A2" s="16"/>
      <c r="B2" s="17"/>
      <c r="C2" s="18" t="s">
        <v>22</v>
      </c>
      <c r="D2" s="19" t="s">
        <v>143</v>
      </c>
      <c r="E2" s="18"/>
      <c r="F2" s="61" t="s">
        <v>23</v>
      </c>
      <c r="G2" s="61" t="s">
        <v>23</v>
      </c>
      <c r="H2" s="19" t="s">
        <v>150</v>
      </c>
      <c r="I2" s="21" t="s">
        <v>24</v>
      </c>
      <c r="J2" s="21" t="s">
        <v>25</v>
      </c>
      <c r="K2" s="21" t="s">
        <v>26</v>
      </c>
      <c r="L2" s="21" t="s">
        <v>27</v>
      </c>
      <c r="M2" s="21" t="s">
        <v>28</v>
      </c>
      <c r="N2" s="21" t="s">
        <v>29</v>
      </c>
      <c r="O2" s="21" t="s">
        <v>30</v>
      </c>
      <c r="P2" s="22" t="s">
        <v>31</v>
      </c>
      <c r="Q2" s="23" t="s">
        <v>75</v>
      </c>
      <c r="R2" s="27"/>
      <c r="S2" s="21"/>
      <c r="T2" s="24"/>
      <c r="U2" s="25" t="s">
        <v>32</v>
      </c>
      <c r="V2" s="26" t="s">
        <v>33</v>
      </c>
      <c r="W2" s="26" t="s">
        <v>34</v>
      </c>
      <c r="X2" s="23"/>
      <c r="Y2" s="27"/>
    </row>
    <row r="3" spans="1:25" s="3" customFormat="1" ht="104.15" customHeight="1" x14ac:dyDescent="0.35">
      <c r="A3" s="44" t="s">
        <v>138</v>
      </c>
      <c r="B3" s="45" t="s">
        <v>139</v>
      </c>
      <c r="C3" s="45" t="s">
        <v>141</v>
      </c>
      <c r="D3" s="45" t="s">
        <v>144</v>
      </c>
      <c r="E3" s="45" t="s">
        <v>146</v>
      </c>
      <c r="F3" s="62">
        <v>46188</v>
      </c>
      <c r="G3" s="62">
        <v>46194</v>
      </c>
      <c r="H3" s="46" t="s">
        <v>148</v>
      </c>
      <c r="I3" s="47" t="s">
        <v>37</v>
      </c>
      <c r="J3" s="45" t="s">
        <v>38</v>
      </c>
      <c r="K3" s="45" t="s">
        <v>39</v>
      </c>
      <c r="L3" s="45" t="s">
        <v>40</v>
      </c>
      <c r="M3" s="46"/>
      <c r="N3" s="46"/>
      <c r="O3" s="46"/>
      <c r="P3" s="46"/>
      <c r="Q3" s="45" t="s">
        <v>151</v>
      </c>
      <c r="R3" s="46"/>
      <c r="S3" s="46"/>
      <c r="T3" s="48"/>
      <c r="U3" s="49"/>
      <c r="V3" s="46"/>
      <c r="W3" s="46"/>
      <c r="X3" s="46"/>
      <c r="Y3" s="46"/>
    </row>
    <row r="4" spans="1:25" ht="182.15" customHeight="1" x14ac:dyDescent="0.35">
      <c r="A4" s="44" t="s">
        <v>138</v>
      </c>
      <c r="B4" s="45" t="s">
        <v>140</v>
      </c>
      <c r="C4" s="45" t="s">
        <v>141</v>
      </c>
      <c r="D4" s="45" t="s">
        <v>145</v>
      </c>
      <c r="E4" s="45" t="s">
        <v>147</v>
      </c>
      <c r="F4" s="62">
        <v>46198</v>
      </c>
      <c r="G4" s="62">
        <v>46203</v>
      </c>
      <c r="H4" s="46" t="s">
        <v>149</v>
      </c>
      <c r="I4" s="47" t="s">
        <v>43</v>
      </c>
      <c r="J4" s="45" t="s">
        <v>44</v>
      </c>
      <c r="K4" s="45" t="s">
        <v>45</v>
      </c>
      <c r="L4" s="45" t="s">
        <v>46</v>
      </c>
      <c r="M4" s="46" t="s">
        <v>47</v>
      </c>
      <c r="N4" s="50">
        <v>46056</v>
      </c>
      <c r="O4" s="50">
        <v>46073</v>
      </c>
      <c r="P4" s="46">
        <f>O4-N4</f>
        <v>17</v>
      </c>
      <c r="Q4" s="45" t="s">
        <v>152</v>
      </c>
      <c r="R4" s="46"/>
      <c r="S4" s="45" t="s">
        <v>48</v>
      </c>
      <c r="T4" s="51"/>
      <c r="U4" s="49"/>
      <c r="V4" s="46"/>
      <c r="W4" s="46"/>
      <c r="X4" s="46"/>
      <c r="Y4" s="46"/>
    </row>
    <row r="5" spans="1:25" ht="169" customHeight="1" x14ac:dyDescent="0.35">
      <c r="A5" s="28"/>
      <c r="B5" s="29" t="s">
        <v>49</v>
      </c>
      <c r="C5" s="29"/>
      <c r="D5" s="29"/>
      <c r="E5" s="29"/>
      <c r="F5" s="63"/>
      <c r="G5" s="63"/>
      <c r="H5" s="30" t="s">
        <v>50</v>
      </c>
      <c r="I5" s="31" t="s">
        <v>51</v>
      </c>
      <c r="J5" s="29" t="s">
        <v>52</v>
      </c>
      <c r="K5" s="29" t="s">
        <v>53</v>
      </c>
      <c r="L5" s="29" t="s">
        <v>54</v>
      </c>
      <c r="M5" s="30" t="s">
        <v>55</v>
      </c>
      <c r="N5" s="30"/>
      <c r="O5" s="30"/>
      <c r="P5" s="30"/>
      <c r="Q5" s="30"/>
      <c r="R5" s="30"/>
      <c r="S5" s="30"/>
      <c r="T5" s="32"/>
      <c r="U5" s="33"/>
      <c r="V5" s="30"/>
      <c r="W5" s="30"/>
      <c r="X5" s="30"/>
      <c r="Y5" s="30"/>
    </row>
    <row r="6" spans="1:25" ht="104.15" customHeight="1" x14ac:dyDescent="0.35">
      <c r="A6" s="28"/>
      <c r="B6" s="29" t="s">
        <v>56</v>
      </c>
      <c r="C6" s="29"/>
      <c r="D6" s="29"/>
      <c r="E6" s="29"/>
      <c r="F6" s="63"/>
      <c r="G6" s="63"/>
      <c r="H6" s="30" t="s">
        <v>57</v>
      </c>
      <c r="I6" s="31" t="s">
        <v>58</v>
      </c>
      <c r="J6" s="29"/>
      <c r="K6" s="29"/>
      <c r="L6" s="29"/>
      <c r="M6" s="30" t="s">
        <v>59</v>
      </c>
      <c r="N6" s="30"/>
      <c r="O6" s="30"/>
      <c r="P6" s="30"/>
      <c r="Q6" s="30"/>
      <c r="R6" s="30"/>
      <c r="S6" s="30"/>
      <c r="T6" s="32"/>
      <c r="U6" s="33"/>
      <c r="V6" s="30"/>
      <c r="W6" s="30"/>
      <c r="X6" s="30"/>
      <c r="Y6" s="30"/>
    </row>
    <row r="7" spans="1:25" ht="91" customHeight="1" x14ac:dyDescent="0.35">
      <c r="A7" s="28"/>
      <c r="B7" s="29" t="s">
        <v>60</v>
      </c>
      <c r="C7" s="29"/>
      <c r="D7" s="29"/>
      <c r="E7" s="29"/>
      <c r="F7" s="63"/>
      <c r="G7" s="63"/>
      <c r="H7" s="30" t="s">
        <v>61</v>
      </c>
      <c r="I7" s="31" t="s">
        <v>62</v>
      </c>
      <c r="J7" s="29" t="s">
        <v>63</v>
      </c>
      <c r="K7" s="29" t="s">
        <v>64</v>
      </c>
      <c r="L7" s="29"/>
      <c r="M7" s="30" t="s">
        <v>65</v>
      </c>
      <c r="N7" s="30"/>
      <c r="O7" s="30"/>
      <c r="P7" s="30"/>
      <c r="Q7" s="30"/>
      <c r="R7" s="30"/>
      <c r="S7" s="30"/>
      <c r="T7" s="32"/>
      <c r="U7" s="33"/>
      <c r="V7" s="30"/>
      <c r="W7" s="30"/>
      <c r="X7" s="30"/>
      <c r="Y7" s="30"/>
    </row>
    <row r="8" spans="1:25" ht="52" customHeight="1" x14ac:dyDescent="0.35">
      <c r="A8" s="28"/>
      <c r="B8" s="29" t="s">
        <v>66</v>
      </c>
      <c r="C8" s="29"/>
      <c r="D8" s="29"/>
      <c r="E8" s="29"/>
      <c r="F8" s="63"/>
      <c r="G8" s="63"/>
      <c r="H8" s="30" t="s">
        <v>67</v>
      </c>
      <c r="I8" s="31" t="s">
        <v>68</v>
      </c>
      <c r="J8" s="29"/>
      <c r="K8" s="29"/>
      <c r="L8" s="29"/>
      <c r="M8" s="30" t="s">
        <v>59</v>
      </c>
      <c r="N8" s="30"/>
      <c r="O8" s="30"/>
      <c r="P8" s="30"/>
      <c r="Q8" s="30"/>
      <c r="R8" s="30"/>
      <c r="S8" s="30"/>
      <c r="T8" s="32"/>
      <c r="U8" s="33"/>
      <c r="V8" s="30"/>
      <c r="W8" s="30"/>
      <c r="X8" s="30"/>
      <c r="Y8" s="30"/>
    </row>
    <row r="9" spans="1:25" ht="143.15" customHeight="1" x14ac:dyDescent="0.35">
      <c r="A9" s="28"/>
      <c r="B9" s="30"/>
      <c r="C9" s="30"/>
      <c r="D9" s="30"/>
      <c r="E9" s="30"/>
      <c r="F9" s="64"/>
      <c r="G9" s="64"/>
      <c r="H9" s="30" t="s">
        <v>69</v>
      </c>
      <c r="I9" s="31" t="s">
        <v>70</v>
      </c>
      <c r="J9" s="29"/>
      <c r="K9" s="29"/>
      <c r="L9" s="29"/>
      <c r="M9" s="30" t="s">
        <v>59</v>
      </c>
      <c r="N9" s="30"/>
      <c r="O9" s="30"/>
      <c r="P9" s="30"/>
      <c r="Q9" s="30"/>
      <c r="R9" s="30"/>
      <c r="S9" s="30"/>
      <c r="T9" s="32"/>
      <c r="U9" s="33"/>
      <c r="V9" s="30"/>
      <c r="W9" s="30"/>
      <c r="X9" s="30"/>
      <c r="Y9" s="30"/>
    </row>
    <row r="10" spans="1:25" ht="169.5" customHeight="1" thickBot="1" x14ac:dyDescent="0.4">
      <c r="A10" s="36"/>
      <c r="B10" s="37"/>
      <c r="C10" s="37"/>
      <c r="D10" s="37"/>
      <c r="E10" s="37"/>
      <c r="F10" s="65"/>
      <c r="G10" s="65"/>
      <c r="H10" s="37" t="s">
        <v>71</v>
      </c>
      <c r="I10" s="38" t="s">
        <v>72</v>
      </c>
      <c r="J10" s="39"/>
      <c r="K10" s="39"/>
      <c r="L10" s="39"/>
      <c r="M10" s="37" t="s">
        <v>59</v>
      </c>
      <c r="N10" s="37"/>
      <c r="O10" s="37"/>
      <c r="P10" s="37"/>
      <c r="Q10" s="37"/>
      <c r="R10" s="30"/>
      <c r="S10" s="37"/>
      <c r="T10" s="40"/>
      <c r="U10" s="33"/>
      <c r="V10" s="30"/>
      <c r="W10" s="30"/>
      <c r="X10" s="30"/>
      <c r="Y10" s="30"/>
    </row>
    <row r="11" spans="1:25" x14ac:dyDescent="0.35">
      <c r="A11" s="2"/>
    </row>
    <row r="12" spans="1:25" x14ac:dyDescent="0.35">
      <c r="A12" s="1"/>
    </row>
    <row r="14" spans="1:25" x14ac:dyDescent="0.35">
      <c r="A14" s="2"/>
    </row>
    <row r="15" spans="1:25" x14ac:dyDescent="0.35">
      <c r="A15" s="1"/>
    </row>
    <row r="16" spans="1:25" x14ac:dyDescent="0.35">
      <c r="A16" s="2"/>
    </row>
    <row r="17" spans="1:1" x14ac:dyDescent="0.35">
      <c r="A17" s="2"/>
    </row>
  </sheetData>
  <dataValidations count="3">
    <dataValidation type="list" allowBlank="1" showInputMessage="1" showErrorMessage="1" sqref="C3:C4">
      <formula1>"Green Field, Brown Field, Renovation"</formula1>
    </dataValidation>
    <dataValidation type="list" allowBlank="1" showInputMessage="1" showErrorMessage="1" sqref="H3:H4">
      <formula1>"MEP, Procurement &amp; Supply Chain, Design &amp; Scope, Medical Equipment Installations, Regulatory Approvals, Specialized Labor, Logistical Challenges, Site Condition Surprises, Operational Readiness, Infection Control Compliance"</formula1>
    </dataValidation>
    <dataValidation type="list" allowBlank="1" showInputMessage="1" showErrorMessage="1" sqref="Q3:Q4">
      <formula1>"Minor (1-7 days), Moderate (8-30 days), Critical (&gt;30 days), Showstopper (Impacts licensing/opening)"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2"/>
  <sheetViews>
    <sheetView topLeftCell="D1" workbookViewId="0">
      <pane ySplit="1" topLeftCell="A2" activePane="bottomLeft" state="frozen"/>
      <selection pane="bottomLeft" activeCell="F2" sqref="F2"/>
    </sheetView>
  </sheetViews>
  <sheetFormatPr defaultRowHeight="14.5" x14ac:dyDescent="0.35"/>
  <cols>
    <col min="1" max="1" width="27" customWidth="1"/>
    <col min="2" max="2" width="23.26953125" customWidth="1"/>
    <col min="3" max="3" width="16.453125" customWidth="1"/>
    <col min="4" max="4" width="19.1796875" customWidth="1"/>
    <col min="5" max="5" width="26" customWidth="1"/>
    <col min="6" max="6" width="17" customWidth="1"/>
    <col min="7" max="7" width="15" customWidth="1"/>
    <col min="8" max="8" width="22" customWidth="1"/>
    <col min="9" max="9" width="10" customWidth="1"/>
    <col min="10" max="10" width="20" customWidth="1"/>
    <col min="11" max="11" width="18" customWidth="1"/>
    <col min="12" max="12" width="19" customWidth="1"/>
    <col min="13" max="13" width="17" customWidth="1"/>
    <col min="14" max="14" width="12" customWidth="1"/>
    <col min="15" max="15" width="19" customWidth="1"/>
    <col min="16" max="16" width="30" customWidth="1"/>
    <col min="17" max="18" width="29" customWidth="1"/>
    <col min="19" max="19" width="21" customWidth="1"/>
    <col min="20" max="20" width="12" customWidth="1"/>
    <col min="21" max="21" width="15" customWidth="1"/>
    <col min="22" max="22" width="13" customWidth="1"/>
    <col min="23" max="23" width="16" customWidth="1"/>
    <col min="24" max="24" width="19" customWidth="1"/>
    <col min="25" max="25" width="20" customWidth="1"/>
    <col min="26" max="26" width="21" customWidth="1"/>
    <col min="27" max="27" width="17" customWidth="1"/>
    <col min="28" max="28" width="23" customWidth="1"/>
    <col min="29" max="29" width="15" customWidth="1"/>
    <col min="30" max="30" width="19" customWidth="1"/>
    <col min="31" max="31" width="20" customWidth="1"/>
    <col min="32" max="32" width="21" customWidth="1"/>
    <col min="33" max="33" width="16" customWidth="1"/>
    <col min="34" max="34" width="20" customWidth="1"/>
  </cols>
  <sheetData>
    <row r="1" spans="1:34" x14ac:dyDescent="0.35">
      <c r="A1" s="5" t="s">
        <v>1</v>
      </c>
      <c r="B1" s="5" t="s">
        <v>137</v>
      </c>
      <c r="C1" s="5" t="s">
        <v>136</v>
      </c>
      <c r="D1" s="5" t="s">
        <v>76</v>
      </c>
      <c r="E1" s="5" t="s">
        <v>77</v>
      </c>
      <c r="F1" s="5" t="s">
        <v>78</v>
      </c>
      <c r="G1" s="5" t="s">
        <v>79</v>
      </c>
      <c r="H1" s="5" t="s">
        <v>80</v>
      </c>
      <c r="I1" s="5" t="s">
        <v>81</v>
      </c>
      <c r="J1" s="5" t="s">
        <v>82</v>
      </c>
      <c r="K1" s="5" t="s">
        <v>83</v>
      </c>
      <c r="L1" s="5" t="s">
        <v>84</v>
      </c>
      <c r="M1" s="5" t="s">
        <v>85</v>
      </c>
      <c r="N1" s="5" t="s">
        <v>86</v>
      </c>
      <c r="O1" s="5" t="s">
        <v>87</v>
      </c>
      <c r="P1" s="5" t="s">
        <v>88</v>
      </c>
      <c r="Q1" s="5" t="s">
        <v>89</v>
      </c>
      <c r="R1" s="5" t="s">
        <v>90</v>
      </c>
      <c r="S1" s="5" t="s">
        <v>91</v>
      </c>
      <c r="T1" s="5" t="s">
        <v>92</v>
      </c>
      <c r="U1" s="5" t="s">
        <v>93</v>
      </c>
      <c r="V1" s="5" t="s">
        <v>94</v>
      </c>
      <c r="W1" s="5" t="s">
        <v>95</v>
      </c>
      <c r="X1" s="5" t="s">
        <v>96</v>
      </c>
      <c r="Y1" s="5" t="s">
        <v>97</v>
      </c>
      <c r="Z1" s="5" t="s">
        <v>98</v>
      </c>
      <c r="AA1" s="5" t="s">
        <v>99</v>
      </c>
      <c r="AB1" s="5" t="s">
        <v>100</v>
      </c>
      <c r="AC1" s="5" t="s">
        <v>101</v>
      </c>
      <c r="AD1" s="5" t="s">
        <v>102</v>
      </c>
      <c r="AE1" s="5" t="s">
        <v>103</v>
      </c>
      <c r="AF1" s="5" t="s">
        <v>104</v>
      </c>
      <c r="AG1" s="5" t="s">
        <v>105</v>
      </c>
      <c r="AH1" s="5" t="s">
        <v>106</v>
      </c>
    </row>
    <row r="2" spans="1:34" x14ac:dyDescent="0.35">
      <c r="A2" s="6" t="s">
        <v>107</v>
      </c>
      <c r="B2" s="6"/>
      <c r="C2" s="6"/>
      <c r="D2" s="6" t="s">
        <v>108</v>
      </c>
      <c r="E2" s="6"/>
      <c r="F2" s="6"/>
      <c r="G2" s="6"/>
      <c r="H2" s="6"/>
      <c r="I2" s="6" t="s">
        <v>109</v>
      </c>
      <c r="J2" s="6" t="s">
        <v>110</v>
      </c>
      <c r="K2" s="6" t="s">
        <v>111</v>
      </c>
      <c r="L2" s="6" t="s">
        <v>112</v>
      </c>
      <c r="M2" s="6" t="s">
        <v>113</v>
      </c>
      <c r="N2" s="6">
        <f>M2-K2</f>
        <v>3</v>
      </c>
      <c r="O2" s="6" t="s">
        <v>114</v>
      </c>
      <c r="P2" s="6">
        <v>9</v>
      </c>
      <c r="Q2" s="6" t="s">
        <v>114</v>
      </c>
      <c r="R2" s="6" t="s">
        <v>115</v>
      </c>
      <c r="S2" s="6" t="s">
        <v>116</v>
      </c>
      <c r="T2" s="6">
        <v>8</v>
      </c>
      <c r="U2" s="6">
        <v>500000</v>
      </c>
      <c r="V2" s="6">
        <v>575000</v>
      </c>
      <c r="W2" s="6">
        <f>(V2-U2)/U2</f>
        <v>0.15</v>
      </c>
      <c r="X2" s="6" t="s">
        <v>117</v>
      </c>
      <c r="Y2" s="6" t="s">
        <v>118</v>
      </c>
      <c r="Z2" s="6">
        <v>5</v>
      </c>
      <c r="AA2" s="6" t="s">
        <v>119</v>
      </c>
      <c r="AB2" s="6">
        <v>7</v>
      </c>
      <c r="AC2" s="6">
        <v>2</v>
      </c>
      <c r="AD2" s="6" t="s">
        <v>120</v>
      </c>
      <c r="AE2" s="6" t="s">
        <v>121</v>
      </c>
      <c r="AF2" s="6" t="s">
        <v>122</v>
      </c>
      <c r="AG2" s="6" t="s">
        <v>123</v>
      </c>
      <c r="AH2" s="6" t="s">
        <v>124</v>
      </c>
    </row>
    <row r="3" spans="1:34" x14ac:dyDescent="0.35">
      <c r="A3" s="6" t="s">
        <v>125</v>
      </c>
      <c r="B3" s="6"/>
      <c r="C3" s="6"/>
      <c r="D3" s="6" t="s">
        <v>126</v>
      </c>
      <c r="E3" s="6"/>
      <c r="F3" s="6"/>
      <c r="G3" s="6"/>
      <c r="H3" s="6"/>
      <c r="I3" s="6" t="s">
        <v>127</v>
      </c>
      <c r="J3" s="6" t="s">
        <v>128</v>
      </c>
      <c r="K3" s="6" t="s">
        <v>129</v>
      </c>
      <c r="L3" s="6"/>
      <c r="M3" s="6"/>
      <c r="N3" s="6"/>
      <c r="O3" s="6" t="s">
        <v>130</v>
      </c>
      <c r="P3" s="6">
        <v>4</v>
      </c>
      <c r="Q3" s="6" t="s">
        <v>130</v>
      </c>
      <c r="R3" s="6" t="s">
        <v>115</v>
      </c>
      <c r="S3" s="6" t="s">
        <v>131</v>
      </c>
      <c r="T3" s="6">
        <v>5</v>
      </c>
      <c r="U3" s="6">
        <v>150000</v>
      </c>
      <c r="V3" s="6">
        <v>0</v>
      </c>
      <c r="W3" s="6"/>
      <c r="X3" s="6" t="s">
        <v>132</v>
      </c>
      <c r="Y3" s="6" t="s">
        <v>119</v>
      </c>
      <c r="Z3" s="6">
        <v>0</v>
      </c>
      <c r="AA3" s="6" t="s">
        <v>115</v>
      </c>
      <c r="AB3" s="6">
        <v>0</v>
      </c>
      <c r="AC3" s="6">
        <v>0</v>
      </c>
      <c r="AD3" s="6" t="s">
        <v>133</v>
      </c>
      <c r="AE3" s="6"/>
      <c r="AF3" s="6"/>
      <c r="AG3" s="6" t="s">
        <v>134</v>
      </c>
      <c r="AH3" s="6" t="s">
        <v>135</v>
      </c>
    </row>
    <row r="6" spans="1:34" ht="18.5" x14ac:dyDescent="0.45">
      <c r="A6" s="7"/>
      <c r="B6" s="7"/>
      <c r="C6" s="7"/>
    </row>
    <row r="7" spans="1:34" x14ac:dyDescent="0.35">
      <c r="A7" s="8"/>
      <c r="B7" s="8"/>
      <c r="C7" s="8"/>
    </row>
    <row r="8" spans="1:34" x14ac:dyDescent="0.35">
      <c r="A8" s="8"/>
      <c r="B8" s="8"/>
      <c r="C8" s="8"/>
    </row>
    <row r="9" spans="1:34" x14ac:dyDescent="0.35">
      <c r="A9" s="8"/>
      <c r="B9" s="8"/>
      <c r="C9" s="8"/>
    </row>
    <row r="10" spans="1:34" x14ac:dyDescent="0.35">
      <c r="A10" s="8"/>
      <c r="B10" s="8"/>
      <c r="C10" s="8"/>
    </row>
    <row r="11" spans="1:34" x14ac:dyDescent="0.35">
      <c r="A11" s="8"/>
      <c r="B11" s="8"/>
      <c r="C11" s="8"/>
    </row>
    <row r="12" spans="1:34" x14ac:dyDescent="0.35">
      <c r="A12" s="8"/>
      <c r="B12" s="8"/>
      <c r="C12" s="8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Construction</vt:lpstr>
      <vt:lpstr>Renovation Projects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yogamaya_k</dc:creator>
  <cp:lastModifiedBy>Vishwanath Galipally</cp:lastModifiedBy>
  <dcterms:created xsi:type="dcterms:W3CDTF">2015-06-05T18:17:20Z</dcterms:created>
  <dcterms:modified xsi:type="dcterms:W3CDTF">2026-05-27T06:35:06Z</dcterms:modified>
</cp:coreProperties>
</file>